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QIB\Downloads\"/>
    </mc:Choice>
  </mc:AlternateContent>
  <xr:revisionPtr revIDLastSave="0" documentId="13_ncr:1_{09C2D09A-94EE-4CA4-BF0A-A57BA09A78CE}" xr6:coauthVersionLast="47" xr6:coauthVersionMax="47" xr10:uidLastSave="{00000000-0000-0000-0000-000000000000}"/>
  <bookViews>
    <workbookView xWindow="22015" yWindow="-104" windowWidth="22325" windowHeight="11947" xr2:uid="{00000000-000D-0000-FFFF-FFFF00000000}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L19" i="1"/>
  <c r="L21" i="1"/>
  <c r="L22" i="1"/>
  <c r="L23" i="1"/>
  <c r="L24" i="1"/>
  <c r="L25" i="1"/>
  <c r="L26" i="1"/>
  <c r="L27" i="1"/>
  <c r="L28" i="1"/>
  <c r="L29" i="1"/>
  <c r="L18" i="1"/>
  <c r="L31" i="1" l="1"/>
  <c r="L32" i="1"/>
  <c r="L33" i="1" s="1"/>
  <c r="L34" i="1" l="1"/>
  <c r="L36" i="1" s="1"/>
</calcChain>
</file>

<file path=xl/sharedStrings.xml><?xml version="1.0" encoding="utf-8"?>
<sst xmlns="http://schemas.openxmlformats.org/spreadsheetml/2006/main" count="37" uniqueCount="33">
  <si>
    <t>U-G APPAREL</t>
  </si>
  <si>
    <t>SALES TAX INVOICE</t>
  </si>
  <si>
    <t>Pindi Stop Bansa Wala Bazaar,</t>
  </si>
  <si>
    <t>DATE:</t>
  </si>
  <si>
    <t>opp Qadir Palace, Kot Lakhpat, Lahore</t>
  </si>
  <si>
    <t>INVOICE #</t>
  </si>
  <si>
    <t>Phone # +92 307 4110372</t>
  </si>
  <si>
    <t>NTN: 3520204756215</t>
  </si>
  <si>
    <t>RECEPIENT</t>
  </si>
  <si>
    <t>One Life Apparel (Pvt.) Ltd.</t>
  </si>
  <si>
    <t>1 KM Defence Road, 23 Km Off Multan Road, Lahore</t>
  </si>
  <si>
    <t>NTN: 7174477</t>
  </si>
  <si>
    <t>STRN: 3277876120771</t>
  </si>
  <si>
    <t>DESCRIPTION</t>
  </si>
  <si>
    <t>HS.Code</t>
  </si>
  <si>
    <t>Quantity</t>
  </si>
  <si>
    <t>Avg Rate</t>
  </si>
  <si>
    <t>AMOUNT</t>
  </si>
  <si>
    <t>Value Excl Tax</t>
  </si>
  <si>
    <t>PKR</t>
  </si>
  <si>
    <t>OTHER COMMENTS</t>
  </si>
  <si>
    <t>Tax Rate @ 18%</t>
  </si>
  <si>
    <t>Our Bank Detail</t>
  </si>
  <si>
    <t>Value Incl. Tax</t>
  </si>
  <si>
    <t>Bank Name: MCB</t>
  </si>
  <si>
    <t>Advance Tax @ 0.5%</t>
  </si>
  <si>
    <t>Branch : GULAB DEVI HOSPITAL BRANCH</t>
  </si>
  <si>
    <t>Account Title: UG APPAREL</t>
  </si>
  <si>
    <t>TOTAL</t>
  </si>
  <si>
    <t>Account #1336072571012839</t>
  </si>
  <si>
    <t>Thank You For Your Business!</t>
  </si>
  <si>
    <t>6109.1000</t>
  </si>
  <si>
    <t xml:space="preserve">               +92 322 8457020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</si>
</sst>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8" formatCode="[$PKR]\ #,##0.00"/>
  </numFmts>
  <fonts count="15" x14ac:knownFonts="1">
    <font>
      <sz val="11"/>
      <name val="Carlito"/>
    </font>
    <font>
      <sz val="9"/>
      <name val="Arial"/>
    </font>
    <font>
      <b/>
      <sz val="14"/>
      <color rgb="FFE59A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2"/>
      <color rgb="FFFFFFFF"/>
      <name val="Arial"/>
      <family val="2"/>
    </font>
    <font>
      <b/>
      <i/>
      <sz val="20"/>
      <name val="Arial"/>
      <family val="2"/>
    </font>
    <font>
      <sz val="18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6A00"/>
      </patternFill>
    </fill>
    <fill>
      <patternFill patternType="solid">
        <fgColor rgb="FF80808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/>
    <xf numFmtId="3" fontId="4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/>
    <xf numFmtId="0" fontId="4" fillId="0" borderId="1" xfId="0" applyFont="1" applyBorder="1"/>
    <xf numFmtId="0" fontId="8" fillId="0" borderId="1" xfId="0" applyFont="1" applyFill="1" applyBorder="1"/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0" borderId="15" xfId="0" applyFont="1" applyBorder="1"/>
    <xf numFmtId="0" fontId="10" fillId="0" borderId="0" xfId="0" applyFont="1"/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3" fontId="4" fillId="0" borderId="11" xfId="0" applyNumberFormat="1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 wrapText="1"/>
    </xf>
    <xf numFmtId="168" fontId="4" fillId="0" borderId="11" xfId="0" applyNumberFormat="1" applyFont="1" applyBorder="1" applyAlignment="1">
      <alignment horizontal="center" vertical="center" wrapText="1"/>
    </xf>
    <xf numFmtId="12" fontId="4" fillId="0" borderId="1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3" fontId="7" fillId="2" borderId="10" xfId="0" applyNumberFormat="1" applyFont="1" applyFill="1" applyBorder="1" applyAlignment="1">
      <alignment horizontal="left" vertical="center"/>
    </xf>
    <xf numFmtId="0" fontId="11" fillId="0" borderId="14" xfId="0" applyFont="1" applyBorder="1"/>
    <xf numFmtId="0" fontId="11" fillId="2" borderId="0" xfId="0" applyFont="1" applyFill="1"/>
    <xf numFmtId="3" fontId="11" fillId="2" borderId="14" xfId="0" applyNumberFormat="1" applyFont="1" applyFill="1" applyBorder="1"/>
    <xf numFmtId="0" fontId="10" fillId="0" borderId="7" xfId="0" applyFont="1" applyBorder="1"/>
    <xf numFmtId="0" fontId="10" fillId="0" borderId="8" xfId="0" applyFont="1" applyBorder="1"/>
    <xf numFmtId="0" fontId="10" fillId="0" borderId="4" xfId="0" applyFont="1" applyBorder="1"/>
    <xf numFmtId="0" fontId="10" fillId="0" borderId="9" xfId="0" applyFont="1" applyBorder="1"/>
    <xf numFmtId="0" fontId="10" fillId="0" borderId="5" xfId="0" applyFont="1" applyBorder="1"/>
    <xf numFmtId="0" fontId="14" fillId="3" borderId="16" xfId="0" applyFont="1" applyFill="1" applyBorder="1" applyAlignment="1">
      <alignment vertical="center"/>
    </xf>
    <xf numFmtId="0" fontId="7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1"/>
  <sheetViews>
    <sheetView tabSelected="1" zoomScale="40" zoomScaleNormal="40" workbookViewId="0">
      <selection activeCell="G10" sqref="G10"/>
    </sheetView>
  </sheetViews>
  <sheetFormatPr defaultRowHeight="30.7" customHeight="1" x14ac:dyDescent="0.25"/>
  <cols>
    <col min="2" max="4" width="12" customWidth="1"/>
    <col min="5" max="5" width="19.26953125" customWidth="1"/>
    <col min="6" max="7" width="12" customWidth="1"/>
    <col min="8" max="8" width="11" customWidth="1"/>
    <col min="9" max="11" width="10" customWidth="1"/>
    <col min="12" max="12" width="23" customWidth="1"/>
  </cols>
  <sheetData>
    <row r="2" spans="2:12" ht="30.7" customHeight="1" x14ac:dyDescent="0.6">
      <c r="B2" s="22" t="s">
        <v>0</v>
      </c>
      <c r="C2" s="23"/>
      <c r="D2" s="23"/>
      <c r="E2" s="23"/>
      <c r="F2" s="1"/>
      <c r="G2" s="1"/>
      <c r="H2" s="1"/>
      <c r="I2" s="5" t="s">
        <v>1</v>
      </c>
      <c r="J2" s="5"/>
      <c r="K2" s="5"/>
      <c r="L2" s="5"/>
    </row>
    <row r="3" spans="2:12" ht="30.7" customHeight="1" x14ac:dyDescent="0.25">
      <c r="B3" s="1"/>
      <c r="C3" s="1"/>
      <c r="D3" s="1"/>
      <c r="E3" s="1"/>
      <c r="F3" s="1"/>
      <c r="G3" s="1"/>
      <c r="H3" s="1"/>
      <c r="I3" s="5"/>
      <c r="J3" s="5"/>
      <c r="K3" s="5"/>
      <c r="L3" s="5"/>
    </row>
    <row r="4" spans="2:12" ht="30.7" customHeight="1" x14ac:dyDescent="0.35">
      <c r="B4" s="6" t="s">
        <v>2</v>
      </c>
      <c r="C4" s="6"/>
      <c r="D4" s="6"/>
      <c r="E4" s="6"/>
      <c r="F4" s="1"/>
      <c r="G4" s="1"/>
      <c r="H4" s="1"/>
      <c r="I4" s="46" t="s">
        <v>3</v>
      </c>
      <c r="J4" s="47"/>
      <c r="K4" s="48"/>
      <c r="L4" s="49"/>
    </row>
    <row r="5" spans="2:12" ht="30.7" customHeight="1" x14ac:dyDescent="0.35">
      <c r="B5" s="6" t="s">
        <v>4</v>
      </c>
      <c r="C5" s="6"/>
      <c r="D5" s="6"/>
      <c r="E5" s="6"/>
      <c r="F5" s="1"/>
      <c r="G5" s="1"/>
      <c r="H5" s="1"/>
      <c r="I5" s="46" t="s">
        <v>5</v>
      </c>
      <c r="J5" s="47"/>
      <c r="K5" s="50"/>
      <c r="L5" s="50"/>
    </row>
    <row r="6" spans="2:12" ht="30.7" customHeight="1" x14ac:dyDescent="0.35">
      <c r="B6" s="6" t="s">
        <v>6</v>
      </c>
      <c r="C6" s="6"/>
      <c r="D6" s="6"/>
      <c r="E6" s="6"/>
      <c r="F6" s="1"/>
      <c r="G6" s="1"/>
      <c r="H6" s="1"/>
      <c r="I6" s="1"/>
      <c r="J6" s="1"/>
      <c r="K6" s="1"/>
      <c r="L6" s="1"/>
    </row>
    <row r="7" spans="2:12" ht="30.7" customHeight="1" x14ac:dyDescent="0.35">
      <c r="B7" s="6" t="s">
        <v>32</v>
      </c>
      <c r="C7" s="6"/>
      <c r="D7" s="6"/>
      <c r="E7" s="6"/>
      <c r="F7" s="1"/>
      <c r="G7" s="1"/>
      <c r="H7" s="1"/>
      <c r="I7" s="1"/>
      <c r="J7" s="1"/>
      <c r="K7" s="1"/>
      <c r="L7" s="1"/>
    </row>
    <row r="8" spans="2:12" ht="30.7" customHeight="1" x14ac:dyDescent="0.35">
      <c r="B8" s="10"/>
      <c r="C8" s="10"/>
      <c r="D8" s="10"/>
      <c r="E8" s="10"/>
      <c r="F8" s="1"/>
      <c r="G8" s="1"/>
      <c r="H8" s="1"/>
      <c r="I8" s="1"/>
      <c r="J8" s="1"/>
      <c r="K8" s="1"/>
      <c r="L8" s="1"/>
    </row>
    <row r="9" spans="2:12" ht="30.7" customHeight="1" x14ac:dyDescent="0.35">
      <c r="B9" s="6" t="s">
        <v>7</v>
      </c>
      <c r="C9" s="6"/>
      <c r="D9" s="6"/>
      <c r="E9" s="10"/>
      <c r="F9" s="1"/>
      <c r="G9" s="1"/>
      <c r="H9" s="1"/>
      <c r="I9" s="1"/>
      <c r="J9" s="1"/>
      <c r="K9" s="1"/>
      <c r="L9" s="1"/>
    </row>
    <row r="10" spans="2:12" ht="30.7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30.7" customHeight="1" thickBot="1" x14ac:dyDescent="0.3">
      <c r="B11" s="44" t="s">
        <v>8</v>
      </c>
      <c r="C11" s="44"/>
      <c r="D11" s="44"/>
      <c r="E11" s="44"/>
      <c r="F11" s="1"/>
      <c r="G11" s="1"/>
      <c r="H11" s="1"/>
      <c r="I11" s="1"/>
      <c r="J11" s="1"/>
      <c r="K11" s="1"/>
      <c r="L11" s="1"/>
    </row>
    <row r="12" spans="2:12" ht="30.7" customHeight="1" x14ac:dyDescent="0.35">
      <c r="B12" s="6" t="s">
        <v>9</v>
      </c>
      <c r="C12" s="6"/>
      <c r="D12" s="6"/>
      <c r="E12" s="6"/>
      <c r="F12" s="1"/>
      <c r="G12" s="1"/>
      <c r="H12" s="1"/>
      <c r="I12" s="1"/>
      <c r="J12" s="1"/>
      <c r="K12" s="1"/>
      <c r="L12" s="1"/>
    </row>
    <row r="13" spans="2:12" ht="47.85" customHeight="1" x14ac:dyDescent="0.35">
      <c r="B13" s="45" t="s">
        <v>10</v>
      </c>
      <c r="C13" s="45"/>
      <c r="D13" s="45"/>
      <c r="E13" s="45"/>
      <c r="F13" s="1"/>
      <c r="G13" s="1"/>
      <c r="H13" s="1"/>
      <c r="I13" s="1"/>
      <c r="J13" s="1"/>
      <c r="K13" s="1"/>
      <c r="L13" s="1"/>
    </row>
    <row r="14" spans="2:12" ht="30.7" customHeight="1" x14ac:dyDescent="0.35">
      <c r="B14" s="6" t="s">
        <v>11</v>
      </c>
      <c r="C14" s="6"/>
      <c r="D14" s="6"/>
      <c r="E14" s="6"/>
      <c r="F14" s="1"/>
      <c r="G14" s="1"/>
      <c r="H14" s="1"/>
      <c r="I14" s="1"/>
      <c r="J14" s="1"/>
      <c r="K14" s="1"/>
      <c r="L14" s="1"/>
    </row>
    <row r="15" spans="2:12" ht="30.7" customHeight="1" x14ac:dyDescent="0.35">
      <c r="B15" s="6" t="s">
        <v>12</v>
      </c>
      <c r="C15" s="6"/>
      <c r="D15" s="6"/>
      <c r="E15" s="6"/>
      <c r="F15" s="1"/>
      <c r="G15" s="1"/>
      <c r="H15" s="1"/>
      <c r="I15" s="1"/>
      <c r="J15" s="1"/>
      <c r="K15" s="1"/>
      <c r="L15" s="1"/>
    </row>
    <row r="16" spans="2:12" ht="30.7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30.7" customHeight="1" x14ac:dyDescent="0.25">
      <c r="B17" s="13" t="s">
        <v>13</v>
      </c>
      <c r="C17" s="14"/>
      <c r="D17" s="14"/>
      <c r="E17" s="14"/>
      <c r="F17" s="14"/>
      <c r="G17" s="14"/>
      <c r="H17" s="15" t="s">
        <v>14</v>
      </c>
      <c r="I17" s="15" t="s">
        <v>15</v>
      </c>
      <c r="J17" s="16" t="s">
        <v>16</v>
      </c>
      <c r="K17" s="16"/>
      <c r="L17" s="17" t="s">
        <v>17</v>
      </c>
    </row>
    <row r="18" spans="2:12" ht="30.7" customHeight="1" x14ac:dyDescent="0.25">
      <c r="B18" s="20"/>
      <c r="C18" s="20"/>
      <c r="D18" s="20"/>
      <c r="E18" s="20"/>
      <c r="F18" s="20"/>
      <c r="G18" s="20"/>
      <c r="H18" s="28" t="s">
        <v>31</v>
      </c>
      <c r="I18" s="25">
        <v>256</v>
      </c>
      <c r="J18" s="24">
        <v>810</v>
      </c>
      <c r="K18" s="24"/>
      <c r="L18" s="26">
        <f>IF(OR(I18="",J18=""),"",I18*J18)</f>
        <v>207360</v>
      </c>
    </row>
    <row r="19" spans="2:12" ht="30.7" customHeight="1" x14ac:dyDescent="0.25">
      <c r="B19" s="20"/>
      <c r="C19" s="20"/>
      <c r="D19" s="20"/>
      <c r="E19" s="20"/>
      <c r="F19" s="20"/>
      <c r="G19" s="20"/>
      <c r="H19" s="27"/>
      <c r="I19" s="25"/>
      <c r="J19" s="24"/>
      <c r="K19" s="24"/>
      <c r="L19" s="26" t="str">
        <f>IF(OR(I19="",J19=""),"",I19*J19)</f>
        <v/>
      </c>
    </row>
    <row r="20" spans="2:12" ht="30.7" customHeight="1" x14ac:dyDescent="0.25">
      <c r="B20" s="20"/>
      <c r="C20" s="20"/>
      <c r="D20" s="20"/>
      <c r="E20" s="20"/>
      <c r="F20" s="20"/>
      <c r="G20" s="20"/>
      <c r="H20" s="21"/>
      <c r="I20" s="25"/>
      <c r="J20" s="24"/>
      <c r="K20" s="24"/>
      <c r="L20" s="26" t="str">
        <f>IF(OR(I20="",J20=""),"",I20*J20)</f>
        <v/>
      </c>
    </row>
    <row r="21" spans="2:12" ht="30.7" customHeight="1" x14ac:dyDescent="0.25">
      <c r="B21" s="20"/>
      <c r="C21" s="20"/>
      <c r="D21" s="20"/>
      <c r="E21" s="20"/>
      <c r="F21" s="20"/>
      <c r="G21" s="20"/>
      <c r="H21" s="21"/>
      <c r="I21" s="25"/>
      <c r="J21" s="24"/>
      <c r="K21" s="24"/>
      <c r="L21" s="26" t="str">
        <f t="shared" ref="L19:L29" si="0">IF(OR(I21="",J21=""),"",I21*J21)</f>
        <v/>
      </c>
    </row>
    <row r="22" spans="2:12" ht="30.7" customHeight="1" x14ac:dyDescent="0.25">
      <c r="B22" s="20"/>
      <c r="C22" s="20"/>
      <c r="D22" s="20"/>
      <c r="E22" s="20"/>
      <c r="F22" s="20"/>
      <c r="G22" s="20"/>
      <c r="H22" s="21"/>
      <c r="I22" s="25"/>
      <c r="J22" s="24"/>
      <c r="K22" s="24"/>
      <c r="L22" s="26" t="str">
        <f t="shared" si="0"/>
        <v/>
      </c>
    </row>
    <row r="23" spans="2:12" ht="30.7" customHeight="1" x14ac:dyDescent="0.25">
      <c r="B23" s="20"/>
      <c r="C23" s="20"/>
      <c r="D23" s="20"/>
      <c r="E23" s="20"/>
      <c r="F23" s="20"/>
      <c r="G23" s="20"/>
      <c r="H23" s="21"/>
      <c r="I23" s="25"/>
      <c r="J23" s="24"/>
      <c r="K23" s="24"/>
      <c r="L23" s="26" t="str">
        <f t="shared" si="0"/>
        <v/>
      </c>
    </row>
    <row r="24" spans="2:12" ht="30.7" customHeight="1" x14ac:dyDescent="0.25">
      <c r="B24" s="20"/>
      <c r="C24" s="20"/>
      <c r="D24" s="20"/>
      <c r="E24" s="20"/>
      <c r="F24" s="20"/>
      <c r="G24" s="20"/>
      <c r="H24" s="21"/>
      <c r="I24" s="25"/>
      <c r="J24" s="24"/>
      <c r="K24" s="24"/>
      <c r="L24" s="26" t="str">
        <f t="shared" si="0"/>
        <v/>
      </c>
    </row>
    <row r="25" spans="2:12" ht="30.7" customHeight="1" x14ac:dyDescent="0.25">
      <c r="B25" s="20"/>
      <c r="C25" s="20"/>
      <c r="D25" s="20"/>
      <c r="E25" s="20"/>
      <c r="F25" s="20"/>
      <c r="G25" s="20"/>
      <c r="H25" s="21"/>
      <c r="I25" s="25"/>
      <c r="J25" s="24"/>
      <c r="K25" s="24"/>
      <c r="L25" s="26" t="str">
        <f t="shared" si="0"/>
        <v/>
      </c>
    </row>
    <row r="26" spans="2:12" ht="30.7" customHeight="1" x14ac:dyDescent="0.25">
      <c r="B26" s="20"/>
      <c r="C26" s="20"/>
      <c r="D26" s="20"/>
      <c r="E26" s="20"/>
      <c r="F26" s="20"/>
      <c r="G26" s="20"/>
      <c r="H26" s="21"/>
      <c r="I26" s="25"/>
      <c r="J26" s="24"/>
      <c r="K26" s="24"/>
      <c r="L26" s="26" t="str">
        <f t="shared" si="0"/>
        <v/>
      </c>
    </row>
    <row r="27" spans="2:12" ht="30.7" customHeight="1" x14ac:dyDescent="0.25">
      <c r="B27" s="20"/>
      <c r="C27" s="20"/>
      <c r="D27" s="20"/>
      <c r="E27" s="20"/>
      <c r="F27" s="20"/>
      <c r="G27" s="20"/>
      <c r="H27" s="21"/>
      <c r="I27" s="25"/>
      <c r="J27" s="24"/>
      <c r="K27" s="24"/>
      <c r="L27" s="26" t="str">
        <f t="shared" si="0"/>
        <v/>
      </c>
    </row>
    <row r="28" spans="2:12" ht="30.7" customHeight="1" x14ac:dyDescent="0.25">
      <c r="B28" s="20"/>
      <c r="C28" s="20"/>
      <c r="D28" s="20"/>
      <c r="E28" s="20"/>
      <c r="F28" s="20"/>
      <c r="G28" s="20"/>
      <c r="H28" s="21"/>
      <c r="I28" s="25"/>
      <c r="J28" s="24"/>
      <c r="K28" s="24"/>
      <c r="L28" s="26" t="str">
        <f t="shared" si="0"/>
        <v/>
      </c>
    </row>
    <row r="29" spans="2:12" ht="30.7" customHeight="1" x14ac:dyDescent="0.25">
      <c r="B29" s="20"/>
      <c r="C29" s="20"/>
      <c r="D29" s="20"/>
      <c r="E29" s="20"/>
      <c r="F29" s="20"/>
      <c r="G29" s="20"/>
      <c r="H29" s="21"/>
      <c r="I29" s="25"/>
      <c r="J29" s="24"/>
      <c r="K29" s="24"/>
      <c r="L29" s="26" t="str">
        <f t="shared" si="0"/>
        <v/>
      </c>
    </row>
    <row r="30" spans="2:12" ht="30.7" customHeight="1" x14ac:dyDescent="0.25">
      <c r="B30" s="2"/>
      <c r="C30" s="2"/>
      <c r="D30" s="2"/>
      <c r="E30" s="2"/>
      <c r="F30" s="2"/>
      <c r="G30" s="2"/>
      <c r="H30" s="3"/>
      <c r="I30" s="4"/>
      <c r="J30" s="4"/>
      <c r="K30" s="4"/>
      <c r="L30" s="4"/>
    </row>
    <row r="31" spans="2:12" ht="30.7" customHeight="1" x14ac:dyDescent="0.35">
      <c r="B31" s="1"/>
      <c r="C31" s="1"/>
      <c r="D31" s="1"/>
      <c r="E31" s="1"/>
      <c r="F31" s="1"/>
      <c r="G31" s="1"/>
      <c r="H31" s="6" t="s">
        <v>18</v>
      </c>
      <c r="I31" s="6"/>
      <c r="J31" s="6"/>
      <c r="K31" s="32" t="s">
        <v>19</v>
      </c>
      <c r="L31" s="33">
        <f>SUM(L18:L29)</f>
        <v>207360</v>
      </c>
    </row>
    <row r="32" spans="2:12" ht="30.7" customHeight="1" x14ac:dyDescent="0.35">
      <c r="B32" s="29" t="s">
        <v>20</v>
      </c>
      <c r="C32" s="30"/>
      <c r="D32" s="30"/>
      <c r="E32" s="30"/>
      <c r="F32" s="31"/>
      <c r="G32" s="12"/>
      <c r="H32" s="6" t="s">
        <v>21</v>
      </c>
      <c r="I32" s="6"/>
      <c r="J32" s="6"/>
      <c r="K32" s="32" t="s">
        <v>19</v>
      </c>
      <c r="L32" s="33">
        <f>IF(L31="","",L31*18%)</f>
        <v>37324.799999999996</v>
      </c>
    </row>
    <row r="33" spans="2:12" ht="30.7" customHeight="1" x14ac:dyDescent="0.4">
      <c r="B33" s="39" t="s">
        <v>22</v>
      </c>
      <c r="C33" s="19"/>
      <c r="D33" s="19"/>
      <c r="E33" s="19"/>
      <c r="F33" s="40"/>
      <c r="G33" s="11"/>
      <c r="H33" s="6" t="s">
        <v>23</v>
      </c>
      <c r="I33" s="6"/>
      <c r="J33" s="6"/>
      <c r="K33" s="34" t="s">
        <v>19</v>
      </c>
      <c r="L33" s="35">
        <f>IF(L31="","",L31+L32)</f>
        <v>244684.79999999999</v>
      </c>
    </row>
    <row r="34" spans="2:12" ht="30.7" customHeight="1" x14ac:dyDescent="0.4">
      <c r="B34" s="39" t="s">
        <v>24</v>
      </c>
      <c r="C34" s="19"/>
      <c r="D34" s="19"/>
      <c r="E34" s="19"/>
      <c r="F34" s="40"/>
      <c r="G34" s="11"/>
      <c r="H34" s="6" t="s">
        <v>25</v>
      </c>
      <c r="I34" s="6"/>
      <c r="J34" s="6"/>
      <c r="K34" s="32" t="s">
        <v>19</v>
      </c>
      <c r="L34" s="33">
        <f>IF(L33="","",L33*0.5%)</f>
        <v>1223.424</v>
      </c>
    </row>
    <row r="35" spans="2:12" ht="30.7" customHeight="1" thickBot="1" x14ac:dyDescent="0.45">
      <c r="B35" s="39" t="s">
        <v>26</v>
      </c>
      <c r="C35" s="19"/>
      <c r="D35" s="19"/>
      <c r="E35" s="19"/>
      <c r="F35" s="40"/>
      <c r="G35" s="11"/>
      <c r="H35" s="7"/>
      <c r="I35" s="7"/>
      <c r="J35" s="7"/>
      <c r="K35" s="18"/>
      <c r="L35" s="8"/>
    </row>
    <row r="36" spans="2:12" ht="30.7" customHeight="1" thickTop="1" x14ac:dyDescent="0.5">
      <c r="B36" s="39" t="s">
        <v>27</v>
      </c>
      <c r="C36" s="19"/>
      <c r="D36" s="19"/>
      <c r="E36" s="19"/>
      <c r="F36" s="40"/>
      <c r="G36" s="11"/>
      <c r="H36" s="36" t="s">
        <v>28</v>
      </c>
      <c r="I36" s="36"/>
      <c r="J36" s="36"/>
      <c r="K36" s="37" t="s">
        <v>19</v>
      </c>
      <c r="L36" s="38">
        <f>IF(L33="","",L33+L34)</f>
        <v>245908.22399999999</v>
      </c>
    </row>
    <row r="37" spans="2:12" ht="30.7" customHeight="1" x14ac:dyDescent="0.4">
      <c r="B37" s="41" t="s">
        <v>29</v>
      </c>
      <c r="C37" s="42"/>
      <c r="D37" s="42"/>
      <c r="E37" s="42"/>
      <c r="F37" s="43"/>
      <c r="G37" s="11"/>
      <c r="H37" s="1"/>
      <c r="I37" s="1"/>
      <c r="J37" s="1"/>
      <c r="K37" s="1"/>
      <c r="L37" s="1"/>
    </row>
    <row r="38" spans="2:12" ht="30.7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ht="30.7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ht="30.7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ht="30.7" customHeight="1" x14ac:dyDescent="0.45">
      <c r="B41" s="1"/>
      <c r="C41" s="1"/>
      <c r="D41" s="1"/>
      <c r="E41" s="9" t="s">
        <v>30</v>
      </c>
      <c r="F41" s="9"/>
      <c r="G41" s="9"/>
      <c r="H41" s="9"/>
      <c r="I41" s="9"/>
      <c r="J41" s="9"/>
      <c r="K41" s="1"/>
      <c r="L41" s="1"/>
    </row>
  </sheetData>
  <mergeCells count="54">
    <mergeCell ref="E41:J41"/>
    <mergeCell ref="B17:G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B18:G18"/>
    <mergeCell ref="B36:F36"/>
    <mergeCell ref="B37:F37"/>
    <mergeCell ref="H31:J31"/>
    <mergeCell ref="H32:J32"/>
    <mergeCell ref="H33:J33"/>
    <mergeCell ref="H34:J34"/>
    <mergeCell ref="H36:J36"/>
    <mergeCell ref="B32:F32"/>
    <mergeCell ref="B33:F33"/>
    <mergeCell ref="B34:F34"/>
    <mergeCell ref="B35:F35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J17:K17"/>
    <mergeCell ref="B11:E11"/>
    <mergeCell ref="B12:E12"/>
    <mergeCell ref="B13:E13"/>
    <mergeCell ref="B14:E14"/>
    <mergeCell ref="B15:E15"/>
    <mergeCell ref="B9:D9"/>
    <mergeCell ref="I2:L3"/>
    <mergeCell ref="I4:J4"/>
    <mergeCell ref="K4:L4"/>
    <mergeCell ref="I5:J5"/>
    <mergeCell ref="K5:L5"/>
    <mergeCell ref="B2:E2"/>
    <mergeCell ref="B4:E4"/>
    <mergeCell ref="B5:E5"/>
    <mergeCell ref="B6:E6"/>
    <mergeCell ref="B7:E7"/>
  </mergeCell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SAQIB JAVED</cp:lastModifiedBy>
  <cp:lastPrinted>2026-09-02T07:17:55Z</cp:lastPrinted>
  <dcterms:modified xsi:type="dcterms:W3CDTF">2026-09-02T07:42:38Z</dcterms:modified>
</cp:coreProperties>
</file>